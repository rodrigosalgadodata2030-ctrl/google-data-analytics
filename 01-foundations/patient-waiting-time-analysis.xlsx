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ator\Downloads\"/>
    </mc:Choice>
  </mc:AlternateContent>
  <xr:revisionPtr revIDLastSave="0" documentId="13_ncr:1_{4D5EC521-61D0-4410-893C-F5EBA6824C02}" xr6:coauthVersionLast="47" xr6:coauthVersionMax="47" xr10:uidLastSave="{00000000-0000-0000-0000-000000000000}"/>
  <bookViews>
    <workbookView xWindow="-108" yWindow="-108" windowWidth="23256" windowHeight="12456" xr2:uid="{E8EFE0B5-3DBC-4934-B737-96350E6A8220}"/>
  </bookViews>
  <sheets>
    <sheet name="analisis proyecto 1 " sheetId="1" r:id="rId1"/>
    <sheet name="analisis proyecto 2 " sheetId="2" r:id="rId2"/>
    <sheet name="analisis proyecto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4" l="1"/>
  <c r="K4" i="4"/>
  <c r="K5" i="4"/>
  <c r="K2" i="4"/>
  <c r="J3" i="4"/>
  <c r="J4" i="4"/>
  <c r="J5" i="4"/>
  <c r="J2" i="4"/>
  <c r="J3" i="2"/>
  <c r="J4" i="2"/>
  <c r="J5" i="2"/>
  <c r="J2" i="2"/>
</calcChain>
</file>

<file path=xl/sharedStrings.xml><?xml version="1.0" encoding="utf-8"?>
<sst xmlns="http://schemas.openxmlformats.org/spreadsheetml/2006/main" count="484" uniqueCount="63">
  <si>
    <t>Patient_ID</t>
  </si>
  <si>
    <t>Age</t>
  </si>
  <si>
    <t>Treatment_Type</t>
  </si>
  <si>
    <t>Sessions</t>
  </si>
  <si>
    <t>Waiting_Time_Min</t>
  </si>
  <si>
    <t>Satisfaction_Score</t>
  </si>
  <si>
    <t>Would_Recommend</t>
  </si>
  <si>
    <t>P001</t>
  </si>
  <si>
    <t>Sports</t>
  </si>
  <si>
    <t>Yes</t>
  </si>
  <si>
    <t>P002</t>
  </si>
  <si>
    <t>Musculoskeletal</t>
  </si>
  <si>
    <t>P003</t>
  </si>
  <si>
    <t>Neurological</t>
  </si>
  <si>
    <t>No</t>
  </si>
  <si>
    <t>P004</t>
  </si>
  <si>
    <t>Remedial Massage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</si>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</sst>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Waiting Time vs. Patient Satisfaction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'analisis proyecto 1 '!$F$1</c:f>
              <c:strCache>
                <c:ptCount val="1"/>
                <c:pt idx="0">
                  <c:v>Satisfaction_Score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'analisis proyecto 1 '!$E$2:$E$51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8</c:v>
                </c:pt>
                <c:pt idx="4">
                  <c:v>15</c:v>
                </c:pt>
                <c:pt idx="5">
                  <c:v>7</c:v>
                </c:pt>
                <c:pt idx="6">
                  <c:v>35</c:v>
                </c:pt>
                <c:pt idx="7">
                  <c:v>25</c:v>
                </c:pt>
                <c:pt idx="8">
                  <c:v>12</c:v>
                </c:pt>
                <c:pt idx="9">
                  <c:v>18</c:v>
                </c:pt>
                <c:pt idx="10">
                  <c:v>28</c:v>
                </c:pt>
                <c:pt idx="11">
                  <c:v>9</c:v>
                </c:pt>
                <c:pt idx="12">
                  <c:v>22</c:v>
                </c:pt>
                <c:pt idx="13">
                  <c:v>32</c:v>
                </c:pt>
                <c:pt idx="14">
                  <c:v>6</c:v>
                </c:pt>
                <c:pt idx="15">
                  <c:v>38</c:v>
                </c:pt>
                <c:pt idx="16">
                  <c:v>11</c:v>
                </c:pt>
                <c:pt idx="17">
                  <c:v>17</c:v>
                </c:pt>
                <c:pt idx="18">
                  <c:v>27</c:v>
                </c:pt>
                <c:pt idx="19">
                  <c:v>5</c:v>
                </c:pt>
                <c:pt idx="20">
                  <c:v>14</c:v>
                </c:pt>
                <c:pt idx="21">
                  <c:v>24</c:v>
                </c:pt>
                <c:pt idx="22">
                  <c:v>33</c:v>
                </c:pt>
                <c:pt idx="23">
                  <c:v>10</c:v>
                </c:pt>
                <c:pt idx="24">
                  <c:v>16</c:v>
                </c:pt>
                <c:pt idx="25">
                  <c:v>29</c:v>
                </c:pt>
                <c:pt idx="26">
                  <c:v>36</c:v>
                </c:pt>
                <c:pt idx="27">
                  <c:v>8</c:v>
                </c:pt>
                <c:pt idx="28">
                  <c:v>13</c:v>
                </c:pt>
                <c:pt idx="29">
                  <c:v>19</c:v>
                </c:pt>
                <c:pt idx="30">
                  <c:v>31</c:v>
                </c:pt>
                <c:pt idx="31">
                  <c:v>15</c:v>
                </c:pt>
                <c:pt idx="32">
                  <c:v>6</c:v>
                </c:pt>
                <c:pt idx="33">
                  <c:v>26</c:v>
                </c:pt>
                <c:pt idx="34">
                  <c:v>9</c:v>
                </c:pt>
                <c:pt idx="35">
                  <c:v>21</c:v>
                </c:pt>
                <c:pt idx="36">
                  <c:v>34</c:v>
                </c:pt>
                <c:pt idx="37">
                  <c:v>7</c:v>
                </c:pt>
                <c:pt idx="38">
                  <c:v>18</c:v>
                </c:pt>
                <c:pt idx="39">
                  <c:v>30</c:v>
                </c:pt>
                <c:pt idx="40">
                  <c:v>11</c:v>
                </c:pt>
                <c:pt idx="41">
                  <c:v>20</c:v>
                </c:pt>
                <c:pt idx="42">
                  <c:v>27</c:v>
                </c:pt>
                <c:pt idx="43">
                  <c:v>39</c:v>
                </c:pt>
                <c:pt idx="44">
                  <c:v>10</c:v>
                </c:pt>
                <c:pt idx="45">
                  <c:v>14</c:v>
                </c:pt>
                <c:pt idx="46">
                  <c:v>16</c:v>
                </c:pt>
                <c:pt idx="47">
                  <c:v>29</c:v>
                </c:pt>
                <c:pt idx="48">
                  <c:v>5</c:v>
                </c:pt>
                <c:pt idx="49">
                  <c:v>23</c:v>
                </c:pt>
              </c:numCache>
            </c:numRef>
          </c:xVal>
          <c:yVal>
            <c:numRef>
              <c:f>'analisis proyecto 1 '!$F$2:$F$51</c:f>
              <c:numCache>
                <c:formatCode>General</c:formatCode>
                <c:ptCount val="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6">
                  <c:v>2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9-40DF-A4DC-12849417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049295"/>
        <c:axId val="299209775"/>
      </c:scatterChart>
      <c:valAx>
        <c:axId val="34904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9209775"/>
        <c:crosses val="autoZero"/>
        <c:crossBetween val="midCat"/>
      </c:valAx>
      <c:valAx>
        <c:axId val="2992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904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proyecto 2 '!$J$1</c:f>
              <c:strCache>
                <c:ptCount val="1"/>
                <c:pt idx="0">
                  <c:v>Satisfaction_Score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proyecto 2 '!$I$2:$I$5</c:f>
              <c:strCache>
                <c:ptCount val="4"/>
                <c:pt idx="0">
                  <c:v>Sports</c:v>
                </c:pt>
                <c:pt idx="1">
                  <c:v>Musculoskeletal</c:v>
                </c:pt>
                <c:pt idx="2">
                  <c:v>Neurological</c:v>
                </c:pt>
                <c:pt idx="3">
                  <c:v>Remedial Massage</c:v>
                </c:pt>
              </c:strCache>
            </c:strRef>
          </c:cat>
          <c:val>
            <c:numRef>
              <c:f>'analisis proyecto 2 '!$J$2:$J$5</c:f>
              <c:numCache>
                <c:formatCode>General</c:formatCode>
                <c:ptCount val="4"/>
                <c:pt idx="0">
                  <c:v>4.5</c:v>
                </c:pt>
                <c:pt idx="1">
                  <c:v>3.6666666666666665</c:v>
                </c:pt>
                <c:pt idx="2">
                  <c:v>2.5833333333333335</c:v>
                </c:pt>
                <c:pt idx="3">
                  <c:v>4.7777777777777777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D1F-A145-985737BE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346752"/>
        <c:axId val="1248388560"/>
      </c:barChart>
      <c:catAx>
        <c:axId val="11203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8388560"/>
        <c:crosses val="autoZero"/>
        <c:auto val="1"/>
        <c:lblAlgn val="ctr"/>
        <c:lblOffset val="100"/>
        <c:noMultiLvlLbl val="0"/>
      </c:catAx>
      <c:valAx>
        <c:axId val="12483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034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Satisfaction_Score and 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'analisis proyecto 3'!$K$1</c:f>
              <c:strCache>
                <c:ptCount val="1"/>
                <c:pt idx="0">
                  <c:v>Satisfaction_Score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'analisis proyecto 3'!$J$2:$J$5</c:f>
              <c:numCache>
                <c:formatCode>General</c:formatCode>
                <c:ptCount val="4"/>
                <c:pt idx="0">
                  <c:v>5.8571428571428568</c:v>
                </c:pt>
                <c:pt idx="1">
                  <c:v>7.7333333333333334</c:v>
                </c:pt>
                <c:pt idx="2">
                  <c:v>12.5</c:v>
                </c:pt>
                <c:pt idx="3">
                  <c:v>5.8888888888888893</c:v>
                </c:pt>
              </c:numCache>
            </c:numRef>
          </c:xVal>
          <c:yVal>
            <c:numRef>
              <c:f>'analisis proyecto 3'!$K$2:$K$5</c:f>
              <c:numCache>
                <c:formatCode>General</c:formatCode>
                <c:ptCount val="4"/>
                <c:pt idx="0">
                  <c:v>4.5</c:v>
                </c:pt>
                <c:pt idx="1">
                  <c:v>3.6666666666666665</c:v>
                </c:pt>
                <c:pt idx="2">
                  <c:v>2.5833333333333335</c:v>
                </c:pt>
                <c:pt idx="3">
                  <c:v>4.7777777777777777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A-4F77-B226-3EA0BC349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23744"/>
        <c:axId val="1388386864"/>
      </c:scatterChart>
      <c:valAx>
        <c:axId val="138752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8386864"/>
        <c:crosses val="autoZero"/>
        <c:crossBetween val="midCat"/>
      </c:valAx>
      <c:valAx>
        <c:axId val="13883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752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191845</xdr:colOff>
      <xdr:row>1</xdr:row>
      <xdr:rowOff>35858</xdr:rowOff>
    </xdr:from>
    <xdr:to>
      <xdr:col>7</xdr:col>
      <xdr:colOff>5629835</xdr:colOff>
      <xdr:row>18</xdr:row>
      <xdr:rowOff>93456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A74DD-A897-A6C1-80C4-9D3B592F6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174813</xdr:colOff>
      <xdr:row>19</xdr:row>
      <xdr:rowOff>26894</xdr:rowOff>
    </xdr:from>
    <xdr:to>
      <xdr:col>7</xdr:col>
      <xdr:colOff>5674659</xdr:colOff>
      <xdr:row>31</xdr:row>
      <xdr:rowOff>8964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59EA1A-0705-B9BC-87BD-07D5BB861BB8}"/>
            </a:ext>
          </a:extLst>
        </xdr:cNvPr>
        <xdr:cNvSpPr txBox="1"/>
      </xdr:nvSpPr>
      <xdr:spPr>
        <a:xfrm>
          <a:off x="6728013" y="3433482"/>
          <a:ext cx="5499846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Pregunta:</a:t>
          </a:r>
          <a:r>
            <a:rPr lang="es-MX">
              <a:effectLst/>
            </a:rPr>
            <a:t> </a:t>
          </a:r>
        </a:p>
        <a:p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¿Existe una relación entre el tiempo de espera y la satisfacción del paciente?</a:t>
          </a:r>
          <a:r>
            <a:rPr lang="es-MX">
              <a:effectLst/>
            </a:rPr>
            <a:t> </a:t>
          </a:r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Hallazgo:</a:t>
          </a:r>
          <a:r>
            <a:rPr lang="es-MX">
              <a:effectLst/>
            </a:rPr>
            <a:t> </a:t>
          </a:r>
        </a:p>
        <a:p>
          <a:endParaRPr lang="es-MX">
            <a:effectLst/>
          </a:endParaRPr>
        </a:p>
        <a:p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datos muestran una tendencia negativa: los pacientes con menores tiempos de espera presentan niveles de satisfacción más altos, mientras que los pacientes con mayores tiempos de espera presentan menor satisfacción.</a:t>
          </a:r>
          <a:r>
            <a:rPr lang="es-MX">
              <a:effectLst/>
            </a:rPr>
            <a:t> </a:t>
          </a:r>
        </a:p>
        <a:p>
          <a:endParaRPr lang="es-MX">
            <a:effectLst/>
          </a:endParaRPr>
        </a:p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Conclusión: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Reducir los tiempos de espera podría mejorar la satisfacción de los pacientes. Los datos sugieren que existe una relación negativa entre ambas variables.</a:t>
          </a:r>
          <a:r>
            <a:rPr lang="es-MX">
              <a:effectLst/>
            </a:rPr>
            <a:t> </a:t>
          </a:r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6</xdr:row>
      <xdr:rowOff>34290</xdr:rowOff>
    </xdr:from>
    <xdr:to>
      <xdr:col>11</xdr:col>
      <xdr:colOff>243840</xdr:colOff>
      <xdr:row>21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0BD98E-D30C-3559-13FE-C828A121D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38100</xdr:colOff>
      <xdr:row>22</xdr:row>
      <xdr:rowOff>60960</xdr:rowOff>
    </xdr:from>
    <xdr:ext cx="4381500" cy="21590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83FA4A-C09F-98E3-7172-8DE5F9873288}"/>
            </a:ext>
          </a:extLst>
        </xdr:cNvPr>
        <xdr:cNvSpPr txBox="1"/>
      </xdr:nvSpPr>
      <xdr:spPr>
        <a:xfrm>
          <a:off x="7414260" y="4084320"/>
          <a:ext cx="4381500" cy="21590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b="1"/>
            <a:t>Pregunta:</a:t>
          </a:r>
          <a:endParaRPr lang="es-MX"/>
        </a:p>
        <a:p>
          <a:r>
            <a:rPr lang="es-MX"/>
            <a:t>¿Qué tipo de tratamiento presenta el mayor nivel promedio de satisfacción?</a:t>
          </a:r>
        </a:p>
        <a:p>
          <a:endParaRPr lang="es-MX"/>
        </a:p>
        <a:p>
          <a:r>
            <a:rPr lang="es-MX" b="1"/>
            <a:t>Hallazgo:</a:t>
          </a:r>
          <a:endParaRPr lang="es-MX"/>
        </a:p>
        <a:p>
          <a:r>
            <a:rPr lang="es-MX"/>
            <a:t>Remedial Massage presenta la mayor satisfacción promedio (4,78), seguido de Sports (4,5). Neurological presenta el promedio más bajo (2,58).</a:t>
          </a:r>
        </a:p>
        <a:p>
          <a:endParaRPr lang="es-MX"/>
        </a:p>
        <a:p>
          <a:r>
            <a:rPr lang="es-MX" b="1"/>
            <a:t>Conclusión:</a:t>
          </a:r>
          <a:endParaRPr lang="es-MX"/>
        </a:p>
        <a:p>
          <a:r>
            <a:rPr lang="es-MX"/>
            <a:t>En estos datos, los tratamientos de Remedial Massage y Sports presentan mayores niveles de satisfacción promedio que Musculoskeletal y Neurological.</a:t>
          </a:r>
        </a:p>
        <a:p>
          <a:endParaRPr lang="es-MX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22</xdr:row>
      <xdr:rowOff>60960</xdr:rowOff>
    </xdr:from>
    <xdr:ext cx="4381500" cy="250350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752A63-DF22-4A83-9496-50DCCE970257}"/>
            </a:ext>
          </a:extLst>
        </xdr:cNvPr>
        <xdr:cNvSpPr txBox="1"/>
      </xdr:nvSpPr>
      <xdr:spPr>
        <a:xfrm>
          <a:off x="7414260" y="4084320"/>
          <a:ext cx="4381500" cy="250350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b="1"/>
            <a:t>Pregunta:</a:t>
          </a:r>
          <a:br>
            <a:rPr lang="es-MX"/>
          </a:br>
          <a:r>
            <a:rPr lang="es-MX"/>
            <a:t>¿Qué relación existe entre el número promedio de sesiones y la satisfacción de los pacientes según el tipo de tratamiento?</a:t>
          </a:r>
        </a:p>
        <a:p>
          <a:endParaRPr lang="es-MX"/>
        </a:p>
        <a:p>
          <a:r>
            <a:rPr lang="es-MX" b="1"/>
            <a:t>Hallazgo:</a:t>
          </a:r>
          <a:br>
            <a:rPr lang="es-MX"/>
          </a:br>
          <a:r>
            <a:rPr lang="es-MX"/>
            <a:t>Los tratamientos con menos sesiones promedio, como Sports y Remedial Massage, presentan mayores niveles de satisfacción. Neurological tiene el mayor número promedio de sesiones (12,5) y la menor satisfacción (2,58).</a:t>
          </a:r>
        </a:p>
        <a:p>
          <a:endParaRPr lang="es-MX"/>
        </a:p>
        <a:p>
          <a:r>
            <a:rPr lang="es-MX" b="1"/>
            <a:t>Conclusión:</a:t>
          </a:r>
          <a:br>
            <a:rPr lang="es-MX"/>
          </a:br>
          <a:r>
            <a:rPr lang="es-MX"/>
            <a:t>En estos datos se observa una tendencia negativa: los tratamientos con mayor número promedio de sesiones presentan menores niveles de satisfacción.</a:t>
          </a:r>
        </a:p>
        <a:p>
          <a:endParaRPr lang="es-MX" sz="1100"/>
        </a:p>
      </xdr:txBody>
    </xdr:sp>
    <xdr:clientData/>
  </xdr:oneCellAnchor>
  <xdr:twoCellAnchor>
    <xdr:from>
      <xdr:col>8</xdr:col>
      <xdr:colOff>40341</xdr:colOff>
      <xdr:row>5</xdr:row>
      <xdr:rowOff>143435</xdr:rowOff>
    </xdr:from>
    <xdr:to>
      <xdr:col>10</xdr:col>
      <xdr:colOff>856129</xdr:colOff>
      <xdr:row>21</xdr:row>
      <xdr:rowOff>17930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3F5FE-D98E-58BE-D7B3-A713A9865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71EB-3066-49C2-AA0B-3B1D6D68BF48}">
  <dimension ref="A1:H51"/>
  <sheetViews>
    <sheetView tabSelected="1" zoomScale="85" zoomScaleNormal="85" workbookViewId="0">
      <selection activeCell="L16" sqref="L16"/>
    </sheetView>
  </sheetViews>
  <sheetFormatPr defaultRowHeight="14.4" x14ac:dyDescent="0.3"/>
  <cols>
    <col min="1" max="1" width="9.77734375" customWidth="1"/>
    <col min="2" max="2" width="6.33203125" customWidth="1"/>
    <col min="3" max="3" width="18.6640625" customWidth="1"/>
    <col min="4" max="4" width="9.109375" customWidth="1"/>
    <col min="5" max="5" width="15.5546875" customWidth="1"/>
    <col min="6" max="6" width="17.44140625" customWidth="1"/>
    <col min="7" max="7" width="18.6640625" customWidth="1"/>
    <col min="8" max="8" width="86.33203125" customWidth="1"/>
    <col min="9" max="9" width="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>
        <v>32</v>
      </c>
      <c r="C2" s="1" t="s">
        <v>8</v>
      </c>
      <c r="D2" s="1">
        <v>6</v>
      </c>
      <c r="E2" s="1">
        <v>10</v>
      </c>
      <c r="F2" s="1">
        <v>5</v>
      </c>
      <c r="G2" s="1" t="s">
        <v>9</v>
      </c>
    </row>
    <row r="3" spans="1:7" x14ac:dyDescent="0.3">
      <c r="A3" s="1" t="s">
        <v>10</v>
      </c>
      <c r="B3" s="1">
        <v>45</v>
      </c>
      <c r="C3" s="1" t="s">
        <v>11</v>
      </c>
      <c r="D3" s="1">
        <v>8</v>
      </c>
      <c r="E3" s="1">
        <v>20</v>
      </c>
      <c r="F3" s="1">
        <v>4</v>
      </c>
      <c r="G3" s="1" t="s">
        <v>9</v>
      </c>
    </row>
    <row r="4" spans="1:7" x14ac:dyDescent="0.3">
      <c r="A4" s="1" t="s">
        <v>12</v>
      </c>
      <c r="B4" s="1">
        <v>67</v>
      </c>
      <c r="C4" s="1" t="s">
        <v>13</v>
      </c>
      <c r="D4" s="1">
        <v>12</v>
      </c>
      <c r="E4" s="1">
        <v>30</v>
      </c>
      <c r="F4" s="1">
        <v>3</v>
      </c>
      <c r="G4" s="1" t="s">
        <v>14</v>
      </c>
    </row>
    <row r="5" spans="1:7" x14ac:dyDescent="0.3">
      <c r="A5" s="1" t="s">
        <v>15</v>
      </c>
      <c r="B5" s="1">
        <v>29</v>
      </c>
      <c r="C5" s="1" t="s">
        <v>16</v>
      </c>
      <c r="D5" s="1">
        <v>4</v>
      </c>
      <c r="E5" s="1">
        <v>8</v>
      </c>
      <c r="F5" s="1">
        <v>5</v>
      </c>
      <c r="G5" s="1" t="s">
        <v>9</v>
      </c>
    </row>
    <row r="6" spans="1:7" x14ac:dyDescent="0.3">
      <c r="A6" t="s">
        <v>17</v>
      </c>
      <c r="B6">
        <v>38</v>
      </c>
      <c r="C6" t="s">
        <v>11</v>
      </c>
      <c r="D6">
        <v>5</v>
      </c>
      <c r="E6">
        <v>15</v>
      </c>
      <c r="F6">
        <v>4</v>
      </c>
      <c r="G6" t="s">
        <v>9</v>
      </c>
    </row>
    <row r="7" spans="1:7" x14ac:dyDescent="0.3">
      <c r="A7" t="s">
        <v>18</v>
      </c>
      <c r="B7">
        <v>24</v>
      </c>
      <c r="C7" t="s">
        <v>8</v>
      </c>
      <c r="D7">
        <v>3</v>
      </c>
      <c r="E7">
        <v>7</v>
      </c>
      <c r="F7">
        <v>5</v>
      </c>
      <c r="G7" t="s">
        <v>9</v>
      </c>
    </row>
    <row r="8" spans="1:7" x14ac:dyDescent="0.3">
      <c r="A8" t="s">
        <v>19</v>
      </c>
      <c r="B8">
        <v>71</v>
      </c>
      <c r="C8" t="s">
        <v>13</v>
      </c>
      <c r="D8">
        <v>10</v>
      </c>
      <c r="E8">
        <v>35</v>
      </c>
      <c r="F8">
        <v>2</v>
      </c>
      <c r="G8" t="s">
        <v>14</v>
      </c>
    </row>
    <row r="9" spans="1:7" x14ac:dyDescent="0.3">
      <c r="A9" t="s">
        <v>20</v>
      </c>
      <c r="B9">
        <v>52</v>
      </c>
      <c r="C9" t="s">
        <v>11</v>
      </c>
      <c r="D9">
        <v>9</v>
      </c>
      <c r="E9">
        <v>25</v>
      </c>
      <c r="F9">
        <v>3</v>
      </c>
      <c r="G9" t="s">
        <v>14</v>
      </c>
    </row>
    <row r="10" spans="1:7" x14ac:dyDescent="0.3">
      <c r="A10" t="s">
        <v>21</v>
      </c>
      <c r="B10">
        <v>34</v>
      </c>
      <c r="C10" t="s">
        <v>16</v>
      </c>
      <c r="D10">
        <v>6</v>
      </c>
      <c r="E10">
        <v>12</v>
      </c>
      <c r="F10">
        <v>5</v>
      </c>
      <c r="G10" t="s">
        <v>9</v>
      </c>
    </row>
    <row r="11" spans="1:7" x14ac:dyDescent="0.3">
      <c r="A11" t="s">
        <v>22</v>
      </c>
      <c r="B11">
        <v>41</v>
      </c>
      <c r="C11" t="s">
        <v>8</v>
      </c>
      <c r="D11">
        <v>7</v>
      </c>
      <c r="E11">
        <v>18</v>
      </c>
      <c r="F11">
        <v>4</v>
      </c>
      <c r="G11" t="s">
        <v>9</v>
      </c>
    </row>
    <row r="12" spans="1:7" x14ac:dyDescent="0.3">
      <c r="A12" t="s">
        <v>23</v>
      </c>
      <c r="B12">
        <v>63</v>
      </c>
      <c r="C12" t="s">
        <v>13</v>
      </c>
      <c r="D12">
        <v>14</v>
      </c>
      <c r="E12">
        <v>28</v>
      </c>
      <c r="F12">
        <v>3</v>
      </c>
      <c r="G12" t="s">
        <v>14</v>
      </c>
    </row>
    <row r="13" spans="1:7" x14ac:dyDescent="0.3">
      <c r="A13" t="s">
        <v>24</v>
      </c>
      <c r="B13">
        <v>27</v>
      </c>
      <c r="C13" t="s">
        <v>11</v>
      </c>
      <c r="D13">
        <v>4</v>
      </c>
      <c r="E13">
        <v>9</v>
      </c>
      <c r="F13">
        <v>5</v>
      </c>
      <c r="G13" t="s">
        <v>9</v>
      </c>
    </row>
    <row r="14" spans="1:7" x14ac:dyDescent="0.3">
      <c r="A14" t="s">
        <v>25</v>
      </c>
      <c r="B14">
        <v>48</v>
      </c>
      <c r="C14" t="s">
        <v>8</v>
      </c>
      <c r="D14">
        <v>8</v>
      </c>
      <c r="E14">
        <v>22</v>
      </c>
      <c r="F14">
        <v>4</v>
      </c>
      <c r="G14" t="s">
        <v>9</v>
      </c>
    </row>
    <row r="15" spans="1:7" x14ac:dyDescent="0.3">
      <c r="A15" t="s">
        <v>26</v>
      </c>
      <c r="B15">
        <v>56</v>
      </c>
      <c r="C15" t="s">
        <v>11</v>
      </c>
      <c r="D15">
        <v>10</v>
      </c>
      <c r="E15">
        <v>32</v>
      </c>
      <c r="F15">
        <v>3</v>
      </c>
      <c r="G15" t="s">
        <v>14</v>
      </c>
    </row>
    <row r="16" spans="1:7" x14ac:dyDescent="0.3">
      <c r="A16" t="s">
        <v>27</v>
      </c>
      <c r="B16">
        <v>30</v>
      </c>
      <c r="C16" t="s">
        <v>16</v>
      </c>
      <c r="D16">
        <v>5</v>
      </c>
      <c r="E16">
        <v>6</v>
      </c>
      <c r="F16">
        <v>5</v>
      </c>
      <c r="G16" t="s">
        <v>9</v>
      </c>
    </row>
    <row r="17" spans="1:8" x14ac:dyDescent="0.3">
      <c r="A17" t="s">
        <v>28</v>
      </c>
      <c r="B17">
        <v>74</v>
      </c>
      <c r="C17" t="s">
        <v>13</v>
      </c>
      <c r="D17">
        <v>15</v>
      </c>
      <c r="E17">
        <v>38</v>
      </c>
      <c r="F17">
        <v>2</v>
      </c>
      <c r="G17" t="s">
        <v>14</v>
      </c>
    </row>
    <row r="18" spans="1:8" x14ac:dyDescent="0.3">
      <c r="A18" t="s">
        <v>29</v>
      </c>
      <c r="B18">
        <v>36</v>
      </c>
      <c r="C18" t="s">
        <v>8</v>
      </c>
      <c r="D18">
        <v>6</v>
      </c>
      <c r="E18">
        <v>11</v>
      </c>
      <c r="F18">
        <v>5</v>
      </c>
      <c r="G18" t="s">
        <v>9</v>
      </c>
    </row>
    <row r="19" spans="1:8" x14ac:dyDescent="0.3">
      <c r="A19" t="s">
        <v>30</v>
      </c>
      <c r="B19">
        <v>43</v>
      </c>
      <c r="C19" t="s">
        <v>11</v>
      </c>
      <c r="D19">
        <v>7</v>
      </c>
      <c r="E19">
        <v>17</v>
      </c>
      <c r="F19">
        <v>4</v>
      </c>
      <c r="G19" t="s">
        <v>9</v>
      </c>
    </row>
    <row r="20" spans="1:8" x14ac:dyDescent="0.3">
      <c r="A20" t="s">
        <v>31</v>
      </c>
      <c r="B20">
        <v>61</v>
      </c>
      <c r="C20" t="s">
        <v>13</v>
      </c>
      <c r="D20">
        <v>11</v>
      </c>
      <c r="E20">
        <v>27</v>
      </c>
      <c r="F20">
        <v>3</v>
      </c>
      <c r="G20" t="s">
        <v>14</v>
      </c>
      <c r="H20" s="2"/>
    </row>
    <row r="21" spans="1:8" x14ac:dyDescent="0.3">
      <c r="A21" t="s">
        <v>32</v>
      </c>
      <c r="B21">
        <v>25</v>
      </c>
      <c r="C21" t="s">
        <v>16</v>
      </c>
      <c r="D21">
        <v>3</v>
      </c>
      <c r="E21">
        <v>5</v>
      </c>
      <c r="F21">
        <v>5</v>
      </c>
      <c r="G21" t="s">
        <v>9</v>
      </c>
    </row>
    <row r="22" spans="1:8" x14ac:dyDescent="0.3">
      <c r="A22" t="s">
        <v>33</v>
      </c>
      <c r="B22">
        <v>39</v>
      </c>
      <c r="C22" t="s">
        <v>8</v>
      </c>
      <c r="D22">
        <v>5</v>
      </c>
      <c r="E22">
        <v>14</v>
      </c>
      <c r="F22">
        <v>4</v>
      </c>
      <c r="G22" t="s">
        <v>9</v>
      </c>
    </row>
    <row r="23" spans="1:8" x14ac:dyDescent="0.3">
      <c r="A23" t="s">
        <v>34</v>
      </c>
      <c r="B23">
        <v>50</v>
      </c>
      <c r="C23" t="s">
        <v>11</v>
      </c>
      <c r="D23">
        <v>9</v>
      </c>
      <c r="E23">
        <v>24</v>
      </c>
      <c r="F23">
        <v>3</v>
      </c>
      <c r="G23" t="s">
        <v>14</v>
      </c>
      <c r="H23" s="2"/>
    </row>
    <row r="24" spans="1:8" ht="15.6" customHeight="1" x14ac:dyDescent="0.3">
      <c r="A24" t="s">
        <v>35</v>
      </c>
      <c r="B24">
        <v>68</v>
      </c>
      <c r="C24" t="s">
        <v>13</v>
      </c>
      <c r="D24">
        <v>13</v>
      </c>
      <c r="E24">
        <v>33</v>
      </c>
      <c r="F24">
        <v>2</v>
      </c>
      <c r="G24" t="s">
        <v>14</v>
      </c>
    </row>
    <row r="25" spans="1:8" ht="12.6" customHeight="1" x14ac:dyDescent="0.3">
      <c r="A25" t="s">
        <v>36</v>
      </c>
      <c r="B25">
        <v>31</v>
      </c>
      <c r="C25" t="s">
        <v>16</v>
      </c>
      <c r="D25">
        <v>7</v>
      </c>
      <c r="E25">
        <v>10</v>
      </c>
      <c r="F25">
        <v>5</v>
      </c>
      <c r="G25" t="s">
        <v>9</v>
      </c>
    </row>
    <row r="26" spans="1:8" x14ac:dyDescent="0.3">
      <c r="A26" t="s">
        <v>37</v>
      </c>
      <c r="B26">
        <v>46</v>
      </c>
      <c r="C26" t="s">
        <v>8</v>
      </c>
      <c r="D26">
        <v>8</v>
      </c>
      <c r="E26">
        <v>16</v>
      </c>
      <c r="F26">
        <v>4</v>
      </c>
      <c r="G26" t="s">
        <v>9</v>
      </c>
      <c r="H26" s="3"/>
    </row>
    <row r="27" spans="1:8" x14ac:dyDescent="0.3">
      <c r="A27" t="s">
        <v>38</v>
      </c>
      <c r="B27">
        <v>58</v>
      </c>
      <c r="C27" t="s">
        <v>11</v>
      </c>
      <c r="D27">
        <v>11</v>
      </c>
      <c r="E27">
        <v>29</v>
      </c>
      <c r="F27">
        <v>3</v>
      </c>
      <c r="G27" t="s">
        <v>14</v>
      </c>
    </row>
    <row r="28" spans="1:8" ht="14.4" customHeight="1" x14ac:dyDescent="0.3">
      <c r="A28" t="s">
        <v>39</v>
      </c>
      <c r="B28">
        <v>72</v>
      </c>
      <c r="C28" t="s">
        <v>13</v>
      </c>
      <c r="D28">
        <v>12</v>
      </c>
      <c r="E28">
        <v>36</v>
      </c>
      <c r="F28">
        <v>2</v>
      </c>
      <c r="G28" t="s">
        <v>14</v>
      </c>
    </row>
    <row r="29" spans="1:8" x14ac:dyDescent="0.3">
      <c r="A29" t="s">
        <v>40</v>
      </c>
      <c r="B29">
        <v>28</v>
      </c>
      <c r="C29" t="s">
        <v>8</v>
      </c>
      <c r="D29">
        <v>4</v>
      </c>
      <c r="E29">
        <v>8</v>
      </c>
      <c r="F29">
        <v>5</v>
      </c>
      <c r="G29" t="s">
        <v>9</v>
      </c>
    </row>
    <row r="30" spans="1:8" x14ac:dyDescent="0.3">
      <c r="A30" t="s">
        <v>41</v>
      </c>
      <c r="B30">
        <v>35</v>
      </c>
      <c r="C30" t="s">
        <v>11</v>
      </c>
      <c r="D30">
        <v>6</v>
      </c>
      <c r="E30">
        <v>13</v>
      </c>
      <c r="F30">
        <v>5</v>
      </c>
      <c r="G30" t="s">
        <v>9</v>
      </c>
    </row>
    <row r="31" spans="1:8" x14ac:dyDescent="0.3">
      <c r="A31" t="s">
        <v>42</v>
      </c>
      <c r="B31">
        <v>54</v>
      </c>
      <c r="C31" t="s">
        <v>16</v>
      </c>
      <c r="D31">
        <v>8</v>
      </c>
      <c r="E31">
        <v>19</v>
      </c>
      <c r="F31">
        <v>4</v>
      </c>
      <c r="G31" t="s">
        <v>9</v>
      </c>
    </row>
    <row r="32" spans="1:8" x14ac:dyDescent="0.3">
      <c r="A32" t="s">
        <v>43</v>
      </c>
      <c r="B32">
        <v>65</v>
      </c>
      <c r="C32" t="s">
        <v>13</v>
      </c>
      <c r="D32">
        <v>14</v>
      </c>
      <c r="E32">
        <v>31</v>
      </c>
      <c r="F32">
        <v>3</v>
      </c>
      <c r="G32" t="s">
        <v>14</v>
      </c>
    </row>
    <row r="33" spans="1:7" x14ac:dyDescent="0.3">
      <c r="A33" t="s">
        <v>44</v>
      </c>
      <c r="B33">
        <v>42</v>
      </c>
      <c r="C33" t="s">
        <v>8</v>
      </c>
      <c r="D33">
        <v>7</v>
      </c>
      <c r="E33">
        <v>15</v>
      </c>
      <c r="F33">
        <v>4</v>
      </c>
      <c r="G33" t="s">
        <v>9</v>
      </c>
    </row>
    <row r="34" spans="1:7" x14ac:dyDescent="0.3">
      <c r="A34" t="s">
        <v>45</v>
      </c>
      <c r="B34">
        <v>23</v>
      </c>
      <c r="C34" t="s">
        <v>11</v>
      </c>
      <c r="D34">
        <v>3</v>
      </c>
      <c r="E34">
        <v>6</v>
      </c>
      <c r="F34">
        <v>5</v>
      </c>
      <c r="G34" t="s">
        <v>9</v>
      </c>
    </row>
    <row r="35" spans="1:7" x14ac:dyDescent="0.3">
      <c r="A35" t="s">
        <v>46</v>
      </c>
      <c r="B35">
        <v>59</v>
      </c>
      <c r="C35" t="s">
        <v>13</v>
      </c>
      <c r="D35">
        <v>10</v>
      </c>
      <c r="E35">
        <v>26</v>
      </c>
      <c r="F35">
        <v>3</v>
      </c>
      <c r="G35" t="s">
        <v>14</v>
      </c>
    </row>
    <row r="36" spans="1:7" x14ac:dyDescent="0.3">
      <c r="A36" t="s">
        <v>47</v>
      </c>
      <c r="B36">
        <v>37</v>
      </c>
      <c r="C36" t="s">
        <v>16</v>
      </c>
      <c r="D36">
        <v>5</v>
      </c>
      <c r="E36">
        <v>9</v>
      </c>
      <c r="F36">
        <v>5</v>
      </c>
      <c r="G36" t="s">
        <v>9</v>
      </c>
    </row>
    <row r="37" spans="1:7" x14ac:dyDescent="0.3">
      <c r="A37" t="s">
        <v>48</v>
      </c>
      <c r="B37">
        <v>49</v>
      </c>
      <c r="C37" t="s">
        <v>8</v>
      </c>
      <c r="D37">
        <v>9</v>
      </c>
      <c r="E37">
        <v>21</v>
      </c>
      <c r="F37">
        <v>4</v>
      </c>
      <c r="G37" t="s">
        <v>9</v>
      </c>
    </row>
    <row r="38" spans="1:7" x14ac:dyDescent="0.3">
      <c r="A38" t="s">
        <v>49</v>
      </c>
      <c r="B38">
        <v>70</v>
      </c>
      <c r="C38" t="s">
        <v>11</v>
      </c>
      <c r="D38">
        <v>12</v>
      </c>
      <c r="E38">
        <v>34</v>
      </c>
      <c r="F38">
        <v>2</v>
      </c>
      <c r="G38" t="s">
        <v>14</v>
      </c>
    </row>
    <row r="39" spans="1:7" x14ac:dyDescent="0.3">
      <c r="A39" t="s">
        <v>50</v>
      </c>
      <c r="B39">
        <v>26</v>
      </c>
      <c r="C39" t="s">
        <v>8</v>
      </c>
      <c r="D39">
        <v>4</v>
      </c>
      <c r="E39">
        <v>7</v>
      </c>
      <c r="F39">
        <v>5</v>
      </c>
      <c r="G39" t="s">
        <v>9</v>
      </c>
    </row>
    <row r="40" spans="1:7" x14ac:dyDescent="0.3">
      <c r="A40" t="s">
        <v>51</v>
      </c>
      <c r="B40">
        <v>44</v>
      </c>
      <c r="C40" t="s">
        <v>11</v>
      </c>
      <c r="D40">
        <v>8</v>
      </c>
      <c r="E40">
        <v>18</v>
      </c>
      <c r="F40">
        <v>4</v>
      </c>
      <c r="G40" t="s">
        <v>9</v>
      </c>
    </row>
    <row r="41" spans="1:7" x14ac:dyDescent="0.3">
      <c r="A41" t="s">
        <v>52</v>
      </c>
      <c r="B41">
        <v>62</v>
      </c>
      <c r="C41" t="s">
        <v>13</v>
      </c>
      <c r="D41">
        <v>13</v>
      </c>
      <c r="E41">
        <v>30</v>
      </c>
      <c r="F41">
        <v>3</v>
      </c>
      <c r="G41" t="s">
        <v>14</v>
      </c>
    </row>
    <row r="42" spans="1:7" x14ac:dyDescent="0.3">
      <c r="A42" t="s">
        <v>53</v>
      </c>
      <c r="B42">
        <v>33</v>
      </c>
      <c r="C42" t="s">
        <v>16</v>
      </c>
      <c r="D42">
        <v>6</v>
      </c>
      <c r="E42">
        <v>11</v>
      </c>
      <c r="F42">
        <v>5</v>
      </c>
      <c r="G42" t="s">
        <v>9</v>
      </c>
    </row>
    <row r="43" spans="1:7" x14ac:dyDescent="0.3">
      <c r="A43" t="s">
        <v>54</v>
      </c>
      <c r="B43">
        <v>47</v>
      </c>
      <c r="C43" t="s">
        <v>8</v>
      </c>
      <c r="D43">
        <v>7</v>
      </c>
      <c r="E43">
        <v>20</v>
      </c>
      <c r="F43">
        <v>4</v>
      </c>
      <c r="G43" t="s">
        <v>9</v>
      </c>
    </row>
    <row r="44" spans="1:7" x14ac:dyDescent="0.3">
      <c r="A44" t="s">
        <v>55</v>
      </c>
      <c r="B44">
        <v>57</v>
      </c>
      <c r="C44" t="s">
        <v>11</v>
      </c>
      <c r="D44">
        <v>10</v>
      </c>
      <c r="E44">
        <v>27</v>
      </c>
      <c r="F44">
        <v>3</v>
      </c>
      <c r="G44" t="s">
        <v>14</v>
      </c>
    </row>
    <row r="45" spans="1:7" x14ac:dyDescent="0.3">
      <c r="A45" t="s">
        <v>56</v>
      </c>
      <c r="B45">
        <v>69</v>
      </c>
      <c r="C45" t="s">
        <v>13</v>
      </c>
      <c r="D45">
        <v>15</v>
      </c>
      <c r="E45">
        <v>39</v>
      </c>
      <c r="F45">
        <v>2</v>
      </c>
      <c r="G45" t="s">
        <v>14</v>
      </c>
    </row>
    <row r="46" spans="1:7" x14ac:dyDescent="0.3">
      <c r="A46" t="s">
        <v>57</v>
      </c>
      <c r="B46">
        <v>30</v>
      </c>
      <c r="C46" t="s">
        <v>8</v>
      </c>
      <c r="D46">
        <v>5</v>
      </c>
      <c r="E46">
        <v>10</v>
      </c>
      <c r="F46">
        <v>5</v>
      </c>
      <c r="G46" t="s">
        <v>9</v>
      </c>
    </row>
    <row r="47" spans="1:7" x14ac:dyDescent="0.3">
      <c r="A47" t="s">
        <v>58</v>
      </c>
      <c r="B47">
        <v>40</v>
      </c>
      <c r="C47" t="s">
        <v>11</v>
      </c>
      <c r="D47">
        <v>6</v>
      </c>
      <c r="E47">
        <v>14</v>
      </c>
      <c r="F47">
        <v>4</v>
      </c>
      <c r="G47" t="s">
        <v>9</v>
      </c>
    </row>
    <row r="48" spans="1:7" x14ac:dyDescent="0.3">
      <c r="A48" t="s">
        <v>59</v>
      </c>
      <c r="B48">
        <v>53</v>
      </c>
      <c r="C48" t="s">
        <v>16</v>
      </c>
      <c r="D48">
        <v>9</v>
      </c>
      <c r="E48">
        <v>16</v>
      </c>
      <c r="F48">
        <v>4</v>
      </c>
      <c r="G48" t="s">
        <v>9</v>
      </c>
    </row>
    <row r="49" spans="1:7" x14ac:dyDescent="0.3">
      <c r="A49" t="s">
        <v>60</v>
      </c>
      <c r="B49">
        <v>66</v>
      </c>
      <c r="C49" t="s">
        <v>13</v>
      </c>
      <c r="D49">
        <v>11</v>
      </c>
      <c r="E49">
        <v>29</v>
      </c>
      <c r="F49">
        <v>3</v>
      </c>
      <c r="G49" t="s">
        <v>14</v>
      </c>
    </row>
    <row r="50" spans="1:7" x14ac:dyDescent="0.3">
      <c r="A50" t="s">
        <v>61</v>
      </c>
      <c r="B50">
        <v>22</v>
      </c>
      <c r="C50" t="s">
        <v>8</v>
      </c>
      <c r="D50">
        <v>3</v>
      </c>
      <c r="E50">
        <v>5</v>
      </c>
      <c r="F50">
        <v>5</v>
      </c>
      <c r="G50" t="s">
        <v>9</v>
      </c>
    </row>
    <row r="51" spans="1:7" x14ac:dyDescent="0.3">
      <c r="A51" t="s">
        <v>62</v>
      </c>
      <c r="B51">
        <v>51</v>
      </c>
      <c r="C51" t="s">
        <v>11</v>
      </c>
      <c r="D51">
        <v>8</v>
      </c>
      <c r="E51">
        <v>23</v>
      </c>
      <c r="F51">
        <v>3</v>
      </c>
      <c r="G51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D8-3C81-4718-B70E-75962FBE0715}">
  <dimension ref="A1:J51"/>
  <sheetViews>
    <sheetView zoomScale="70" zoomScaleNormal="70" workbookViewId="0">
      <selection activeCell="O8" sqref="O8"/>
    </sheetView>
  </sheetViews>
  <sheetFormatPr defaultRowHeight="14.4" x14ac:dyDescent="0.3"/>
  <cols>
    <col min="1" max="1" width="9.77734375" customWidth="1"/>
    <col min="2" max="2" width="6.33203125" customWidth="1"/>
    <col min="3" max="3" width="18.6640625" customWidth="1"/>
    <col min="4" max="4" width="9.109375" customWidth="1"/>
    <col min="5" max="5" width="15.5546875" customWidth="1"/>
    <col min="6" max="6" width="17.44140625" customWidth="1"/>
    <col min="7" max="7" width="18.6640625" customWidth="1"/>
    <col min="8" max="8" width="12" customWidth="1"/>
    <col min="9" max="9" width="18.21875" customWidth="1"/>
    <col min="10" max="10" width="3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</v>
      </c>
      <c r="J1" t="s">
        <v>5</v>
      </c>
    </row>
    <row r="2" spans="1:10" x14ac:dyDescent="0.3">
      <c r="A2" s="1" t="s">
        <v>7</v>
      </c>
      <c r="B2" s="1">
        <v>32</v>
      </c>
      <c r="C2" s="1" t="s">
        <v>8</v>
      </c>
      <c r="D2" s="1">
        <v>6</v>
      </c>
      <c r="E2" s="1">
        <v>10</v>
      </c>
      <c r="F2" s="1">
        <v>5</v>
      </c>
      <c r="G2" s="1" t="s">
        <v>9</v>
      </c>
      <c r="I2" t="s">
        <v>8</v>
      </c>
      <c r="J2">
        <f>AVERAGEIF(C2:C51,I2,F2:F51)</f>
        <v>4.5</v>
      </c>
    </row>
    <row r="3" spans="1:10" x14ac:dyDescent="0.3">
      <c r="A3" s="1" t="s">
        <v>10</v>
      </c>
      <c r="B3" s="1">
        <v>45</v>
      </c>
      <c r="C3" s="1" t="s">
        <v>11</v>
      </c>
      <c r="D3" s="1">
        <v>8</v>
      </c>
      <c r="E3" s="1">
        <v>20</v>
      </c>
      <c r="F3" s="1">
        <v>4</v>
      </c>
      <c r="G3" s="1" t="s">
        <v>9</v>
      </c>
      <c r="I3" t="s">
        <v>11</v>
      </c>
      <c r="J3">
        <f t="shared" ref="J3:J5" si="0">AVERAGEIF(C3:C52,I3,F3:F52)</f>
        <v>3.6666666666666665</v>
      </c>
    </row>
    <row r="4" spans="1:10" x14ac:dyDescent="0.3">
      <c r="A4" s="1" t="s">
        <v>12</v>
      </c>
      <c r="B4" s="1">
        <v>67</v>
      </c>
      <c r="C4" s="1" t="s">
        <v>13</v>
      </c>
      <c r="D4" s="1">
        <v>12</v>
      </c>
      <c r="E4" s="1">
        <v>30</v>
      </c>
      <c r="F4" s="1">
        <v>3</v>
      </c>
      <c r="G4" s="1" t="s">
        <v>14</v>
      </c>
      <c r="I4" t="s">
        <v>13</v>
      </c>
      <c r="J4">
        <f t="shared" si="0"/>
        <v>2.5833333333333335</v>
      </c>
    </row>
    <row r="5" spans="1:10" x14ac:dyDescent="0.3">
      <c r="A5" s="1" t="s">
        <v>15</v>
      </c>
      <c r="B5" s="1">
        <v>29</v>
      </c>
      <c r="C5" s="1" t="s">
        <v>16</v>
      </c>
      <c r="D5" s="1">
        <v>4</v>
      </c>
      <c r="E5" s="1">
        <v>8</v>
      </c>
      <c r="F5" s="1">
        <v>5</v>
      </c>
      <c r="G5" s="1" t="s">
        <v>9</v>
      </c>
      <c r="I5" t="s">
        <v>16</v>
      </c>
      <c r="J5">
        <f t="shared" si="0"/>
        <v>4.7777777777777777</v>
      </c>
    </row>
    <row r="6" spans="1:10" x14ac:dyDescent="0.3">
      <c r="A6" t="s">
        <v>17</v>
      </c>
      <c r="B6">
        <v>38</v>
      </c>
      <c r="C6" t="s">
        <v>11</v>
      </c>
      <c r="D6">
        <v>5</v>
      </c>
      <c r="E6">
        <v>15</v>
      </c>
      <c r="F6">
        <v>4</v>
      </c>
      <c r="G6" t="s">
        <v>9</v>
      </c>
    </row>
    <row r="7" spans="1:10" x14ac:dyDescent="0.3">
      <c r="A7" t="s">
        <v>18</v>
      </c>
      <c r="B7">
        <v>24</v>
      </c>
      <c r="C7" t="s">
        <v>8</v>
      </c>
      <c r="D7">
        <v>3</v>
      </c>
      <c r="E7">
        <v>7</v>
      </c>
      <c r="F7">
        <v>5</v>
      </c>
      <c r="G7" t="s">
        <v>9</v>
      </c>
    </row>
    <row r="8" spans="1:10" x14ac:dyDescent="0.3">
      <c r="A8" t="s">
        <v>19</v>
      </c>
      <c r="B8">
        <v>71</v>
      </c>
      <c r="C8" t="s">
        <v>13</v>
      </c>
      <c r="D8">
        <v>10</v>
      </c>
      <c r="E8">
        <v>35</v>
      </c>
      <c r="F8">
        <v>2</v>
      </c>
      <c r="G8" t="s">
        <v>14</v>
      </c>
    </row>
    <row r="9" spans="1:10" x14ac:dyDescent="0.3">
      <c r="A9" t="s">
        <v>20</v>
      </c>
      <c r="B9">
        <v>52</v>
      </c>
      <c r="C9" t="s">
        <v>11</v>
      </c>
      <c r="D9">
        <v>9</v>
      </c>
      <c r="E9">
        <v>25</v>
      </c>
      <c r="F9">
        <v>3</v>
      </c>
      <c r="G9" t="s">
        <v>14</v>
      </c>
    </row>
    <row r="10" spans="1:10" x14ac:dyDescent="0.3">
      <c r="A10" t="s">
        <v>21</v>
      </c>
      <c r="B10">
        <v>34</v>
      </c>
      <c r="C10" t="s">
        <v>16</v>
      </c>
      <c r="D10">
        <v>6</v>
      </c>
      <c r="E10">
        <v>12</v>
      </c>
      <c r="F10">
        <v>5</v>
      </c>
      <c r="G10" t="s">
        <v>9</v>
      </c>
    </row>
    <row r="11" spans="1:10" x14ac:dyDescent="0.3">
      <c r="A11" t="s">
        <v>22</v>
      </c>
      <c r="B11">
        <v>41</v>
      </c>
      <c r="C11" t="s">
        <v>8</v>
      </c>
      <c r="D11">
        <v>7</v>
      </c>
      <c r="E11">
        <v>18</v>
      </c>
      <c r="F11">
        <v>4</v>
      </c>
      <c r="G11" t="s">
        <v>9</v>
      </c>
    </row>
    <row r="12" spans="1:10" x14ac:dyDescent="0.3">
      <c r="A12" t="s">
        <v>23</v>
      </c>
      <c r="B12">
        <v>63</v>
      </c>
      <c r="C12" t="s">
        <v>13</v>
      </c>
      <c r="D12">
        <v>14</v>
      </c>
      <c r="E12">
        <v>28</v>
      </c>
      <c r="F12">
        <v>3</v>
      </c>
      <c r="G12" t="s">
        <v>14</v>
      </c>
    </row>
    <row r="13" spans="1:10" x14ac:dyDescent="0.3">
      <c r="A13" t="s">
        <v>24</v>
      </c>
      <c r="B13">
        <v>27</v>
      </c>
      <c r="C13" t="s">
        <v>11</v>
      </c>
      <c r="D13">
        <v>4</v>
      </c>
      <c r="E13">
        <v>9</v>
      </c>
      <c r="F13">
        <v>5</v>
      </c>
      <c r="G13" t="s">
        <v>9</v>
      </c>
    </row>
    <row r="14" spans="1:10" x14ac:dyDescent="0.3">
      <c r="A14" t="s">
        <v>25</v>
      </c>
      <c r="B14">
        <v>48</v>
      </c>
      <c r="C14" t="s">
        <v>8</v>
      </c>
      <c r="D14">
        <v>8</v>
      </c>
      <c r="E14">
        <v>22</v>
      </c>
      <c r="F14">
        <v>4</v>
      </c>
      <c r="G14" t="s">
        <v>9</v>
      </c>
    </row>
    <row r="15" spans="1:10" x14ac:dyDescent="0.3">
      <c r="A15" t="s">
        <v>26</v>
      </c>
      <c r="B15">
        <v>56</v>
      </c>
      <c r="C15" t="s">
        <v>11</v>
      </c>
      <c r="D15">
        <v>10</v>
      </c>
      <c r="E15">
        <v>32</v>
      </c>
      <c r="F15">
        <v>3</v>
      </c>
      <c r="G15" t="s">
        <v>14</v>
      </c>
    </row>
    <row r="16" spans="1:10" x14ac:dyDescent="0.3">
      <c r="A16" t="s">
        <v>27</v>
      </c>
      <c r="B16">
        <v>30</v>
      </c>
      <c r="C16" t="s">
        <v>16</v>
      </c>
      <c r="D16">
        <v>5</v>
      </c>
      <c r="E16">
        <v>6</v>
      </c>
      <c r="F16">
        <v>5</v>
      </c>
      <c r="G16" t="s">
        <v>9</v>
      </c>
    </row>
    <row r="17" spans="1:8" x14ac:dyDescent="0.3">
      <c r="A17" t="s">
        <v>28</v>
      </c>
      <c r="B17">
        <v>74</v>
      </c>
      <c r="C17" t="s">
        <v>13</v>
      </c>
      <c r="D17">
        <v>15</v>
      </c>
      <c r="E17">
        <v>38</v>
      </c>
      <c r="F17">
        <v>2</v>
      </c>
      <c r="G17" t="s">
        <v>14</v>
      </c>
    </row>
    <row r="18" spans="1:8" x14ac:dyDescent="0.3">
      <c r="A18" t="s">
        <v>29</v>
      </c>
      <c r="B18">
        <v>36</v>
      </c>
      <c r="C18" t="s">
        <v>8</v>
      </c>
      <c r="D18">
        <v>6</v>
      </c>
      <c r="E18">
        <v>11</v>
      </c>
      <c r="F18">
        <v>5</v>
      </c>
      <c r="G18" t="s">
        <v>9</v>
      </c>
    </row>
    <row r="19" spans="1:8" x14ac:dyDescent="0.3">
      <c r="A19" t="s">
        <v>30</v>
      </c>
      <c r="B19">
        <v>43</v>
      </c>
      <c r="C19" t="s">
        <v>11</v>
      </c>
      <c r="D19">
        <v>7</v>
      </c>
      <c r="E19">
        <v>17</v>
      </c>
      <c r="F19">
        <v>4</v>
      </c>
      <c r="G19" t="s">
        <v>9</v>
      </c>
    </row>
    <row r="20" spans="1:8" x14ac:dyDescent="0.3">
      <c r="A20" t="s">
        <v>31</v>
      </c>
      <c r="B20">
        <v>61</v>
      </c>
      <c r="C20" t="s">
        <v>13</v>
      </c>
      <c r="D20">
        <v>11</v>
      </c>
      <c r="E20">
        <v>27</v>
      </c>
      <c r="F20">
        <v>3</v>
      </c>
      <c r="G20" t="s">
        <v>14</v>
      </c>
      <c r="H20" s="2"/>
    </row>
    <row r="21" spans="1:8" x14ac:dyDescent="0.3">
      <c r="A21" t="s">
        <v>32</v>
      </c>
      <c r="B21">
        <v>25</v>
      </c>
      <c r="C21" t="s">
        <v>16</v>
      </c>
      <c r="D21">
        <v>3</v>
      </c>
      <c r="E21">
        <v>5</v>
      </c>
      <c r="F21">
        <v>5</v>
      </c>
      <c r="G21" t="s">
        <v>9</v>
      </c>
    </row>
    <row r="22" spans="1:8" x14ac:dyDescent="0.3">
      <c r="A22" t="s">
        <v>33</v>
      </c>
      <c r="B22">
        <v>39</v>
      </c>
      <c r="C22" t="s">
        <v>8</v>
      </c>
      <c r="D22">
        <v>5</v>
      </c>
      <c r="E22">
        <v>14</v>
      </c>
      <c r="F22">
        <v>4</v>
      </c>
      <c r="G22" t="s">
        <v>9</v>
      </c>
    </row>
    <row r="23" spans="1:8" x14ac:dyDescent="0.3">
      <c r="A23" t="s">
        <v>34</v>
      </c>
      <c r="B23">
        <v>50</v>
      </c>
      <c r="C23" t="s">
        <v>11</v>
      </c>
      <c r="D23">
        <v>9</v>
      </c>
      <c r="E23">
        <v>24</v>
      </c>
      <c r="F23">
        <v>3</v>
      </c>
      <c r="G23" t="s">
        <v>14</v>
      </c>
      <c r="H23" s="2"/>
    </row>
    <row r="24" spans="1:8" ht="15.6" customHeight="1" x14ac:dyDescent="0.3">
      <c r="A24" t="s">
        <v>35</v>
      </c>
      <c r="B24">
        <v>68</v>
      </c>
      <c r="C24" t="s">
        <v>13</v>
      </c>
      <c r="D24">
        <v>13</v>
      </c>
      <c r="E24">
        <v>33</v>
      </c>
      <c r="F24">
        <v>2</v>
      </c>
      <c r="G24" t="s">
        <v>14</v>
      </c>
    </row>
    <row r="25" spans="1:8" ht="12.6" customHeight="1" x14ac:dyDescent="0.3">
      <c r="A25" t="s">
        <v>36</v>
      </c>
      <c r="B25">
        <v>31</v>
      </c>
      <c r="C25" t="s">
        <v>16</v>
      </c>
      <c r="D25">
        <v>7</v>
      </c>
      <c r="E25">
        <v>10</v>
      </c>
      <c r="F25">
        <v>5</v>
      </c>
      <c r="G25" t="s">
        <v>9</v>
      </c>
    </row>
    <row r="26" spans="1:8" x14ac:dyDescent="0.3">
      <c r="A26" t="s">
        <v>37</v>
      </c>
      <c r="B26">
        <v>46</v>
      </c>
      <c r="C26" t="s">
        <v>8</v>
      </c>
      <c r="D26">
        <v>8</v>
      </c>
      <c r="E26">
        <v>16</v>
      </c>
      <c r="F26">
        <v>4</v>
      </c>
      <c r="G26" t="s">
        <v>9</v>
      </c>
      <c r="H26" s="3"/>
    </row>
    <row r="27" spans="1:8" x14ac:dyDescent="0.3">
      <c r="A27" t="s">
        <v>38</v>
      </c>
      <c r="B27">
        <v>58</v>
      </c>
      <c r="C27" t="s">
        <v>11</v>
      </c>
      <c r="D27">
        <v>11</v>
      </c>
      <c r="E27">
        <v>29</v>
      </c>
      <c r="F27">
        <v>3</v>
      </c>
      <c r="G27" t="s">
        <v>14</v>
      </c>
    </row>
    <row r="28" spans="1:8" ht="14.4" customHeight="1" x14ac:dyDescent="0.3">
      <c r="A28" t="s">
        <v>39</v>
      </c>
      <c r="B28">
        <v>72</v>
      </c>
      <c r="C28" t="s">
        <v>13</v>
      </c>
      <c r="D28">
        <v>12</v>
      </c>
      <c r="E28">
        <v>36</v>
      </c>
      <c r="F28">
        <v>2</v>
      </c>
      <c r="G28" t="s">
        <v>14</v>
      </c>
    </row>
    <row r="29" spans="1:8" x14ac:dyDescent="0.3">
      <c r="A29" t="s">
        <v>40</v>
      </c>
      <c r="B29">
        <v>28</v>
      </c>
      <c r="C29" t="s">
        <v>8</v>
      </c>
      <c r="D29">
        <v>4</v>
      </c>
      <c r="E29">
        <v>8</v>
      </c>
      <c r="F29">
        <v>5</v>
      </c>
      <c r="G29" t="s">
        <v>9</v>
      </c>
    </row>
    <row r="30" spans="1:8" x14ac:dyDescent="0.3">
      <c r="A30" t="s">
        <v>41</v>
      </c>
      <c r="B30">
        <v>35</v>
      </c>
      <c r="C30" t="s">
        <v>11</v>
      </c>
      <c r="D30">
        <v>6</v>
      </c>
      <c r="E30">
        <v>13</v>
      </c>
      <c r="F30">
        <v>5</v>
      </c>
      <c r="G30" t="s">
        <v>9</v>
      </c>
    </row>
    <row r="31" spans="1:8" x14ac:dyDescent="0.3">
      <c r="A31" t="s">
        <v>42</v>
      </c>
      <c r="B31">
        <v>54</v>
      </c>
      <c r="C31" t="s">
        <v>16</v>
      </c>
      <c r="D31">
        <v>8</v>
      </c>
      <c r="E31">
        <v>19</v>
      </c>
      <c r="F31">
        <v>4</v>
      </c>
      <c r="G31" t="s">
        <v>9</v>
      </c>
    </row>
    <row r="32" spans="1:8" x14ac:dyDescent="0.3">
      <c r="A32" t="s">
        <v>43</v>
      </c>
      <c r="B32">
        <v>65</v>
      </c>
      <c r="C32" t="s">
        <v>13</v>
      </c>
      <c r="D32">
        <v>14</v>
      </c>
      <c r="E32">
        <v>31</v>
      </c>
      <c r="F32">
        <v>3</v>
      </c>
      <c r="G32" t="s">
        <v>14</v>
      </c>
    </row>
    <row r="33" spans="1:7" x14ac:dyDescent="0.3">
      <c r="A33" t="s">
        <v>44</v>
      </c>
      <c r="B33">
        <v>42</v>
      </c>
      <c r="C33" t="s">
        <v>8</v>
      </c>
      <c r="D33">
        <v>7</v>
      </c>
      <c r="E33">
        <v>15</v>
      </c>
      <c r="F33">
        <v>4</v>
      </c>
      <c r="G33" t="s">
        <v>9</v>
      </c>
    </row>
    <row r="34" spans="1:7" x14ac:dyDescent="0.3">
      <c r="A34" t="s">
        <v>45</v>
      </c>
      <c r="B34">
        <v>23</v>
      </c>
      <c r="C34" t="s">
        <v>11</v>
      </c>
      <c r="D34">
        <v>3</v>
      </c>
      <c r="E34">
        <v>6</v>
      </c>
      <c r="F34">
        <v>5</v>
      </c>
      <c r="G34" t="s">
        <v>9</v>
      </c>
    </row>
    <row r="35" spans="1:7" x14ac:dyDescent="0.3">
      <c r="A35" t="s">
        <v>46</v>
      </c>
      <c r="B35">
        <v>59</v>
      </c>
      <c r="C35" t="s">
        <v>13</v>
      </c>
      <c r="D35">
        <v>10</v>
      </c>
      <c r="E35">
        <v>26</v>
      </c>
      <c r="F35">
        <v>3</v>
      </c>
      <c r="G35" t="s">
        <v>14</v>
      </c>
    </row>
    <row r="36" spans="1:7" x14ac:dyDescent="0.3">
      <c r="A36" t="s">
        <v>47</v>
      </c>
      <c r="B36">
        <v>37</v>
      </c>
      <c r="C36" t="s">
        <v>16</v>
      </c>
      <c r="D36">
        <v>5</v>
      </c>
      <c r="E36">
        <v>9</v>
      </c>
      <c r="F36">
        <v>5</v>
      </c>
      <c r="G36" t="s">
        <v>9</v>
      </c>
    </row>
    <row r="37" spans="1:7" x14ac:dyDescent="0.3">
      <c r="A37" t="s">
        <v>48</v>
      </c>
      <c r="B37">
        <v>49</v>
      </c>
      <c r="C37" t="s">
        <v>8</v>
      </c>
      <c r="D37">
        <v>9</v>
      </c>
      <c r="E37">
        <v>21</v>
      </c>
      <c r="F37">
        <v>4</v>
      </c>
      <c r="G37" t="s">
        <v>9</v>
      </c>
    </row>
    <row r="38" spans="1:7" x14ac:dyDescent="0.3">
      <c r="A38" t="s">
        <v>49</v>
      </c>
      <c r="B38">
        <v>70</v>
      </c>
      <c r="C38" t="s">
        <v>11</v>
      </c>
      <c r="D38">
        <v>12</v>
      </c>
      <c r="E38">
        <v>34</v>
      </c>
      <c r="F38">
        <v>2</v>
      </c>
      <c r="G38" t="s">
        <v>14</v>
      </c>
    </row>
    <row r="39" spans="1:7" x14ac:dyDescent="0.3">
      <c r="A39" t="s">
        <v>50</v>
      </c>
      <c r="B39">
        <v>26</v>
      </c>
      <c r="C39" t="s">
        <v>8</v>
      </c>
      <c r="D39">
        <v>4</v>
      </c>
      <c r="E39">
        <v>7</v>
      </c>
      <c r="F39">
        <v>5</v>
      </c>
      <c r="G39" t="s">
        <v>9</v>
      </c>
    </row>
    <row r="40" spans="1:7" x14ac:dyDescent="0.3">
      <c r="A40" t="s">
        <v>51</v>
      </c>
      <c r="B40">
        <v>44</v>
      </c>
      <c r="C40" t="s">
        <v>11</v>
      </c>
      <c r="D40">
        <v>8</v>
      </c>
      <c r="E40">
        <v>18</v>
      </c>
      <c r="F40">
        <v>4</v>
      </c>
      <c r="G40" t="s">
        <v>9</v>
      </c>
    </row>
    <row r="41" spans="1:7" x14ac:dyDescent="0.3">
      <c r="A41" t="s">
        <v>52</v>
      </c>
      <c r="B41">
        <v>62</v>
      </c>
      <c r="C41" t="s">
        <v>13</v>
      </c>
      <c r="D41">
        <v>13</v>
      </c>
      <c r="E41">
        <v>30</v>
      </c>
      <c r="F41">
        <v>3</v>
      </c>
      <c r="G41" t="s">
        <v>14</v>
      </c>
    </row>
    <row r="42" spans="1:7" x14ac:dyDescent="0.3">
      <c r="A42" t="s">
        <v>53</v>
      </c>
      <c r="B42">
        <v>33</v>
      </c>
      <c r="C42" t="s">
        <v>16</v>
      </c>
      <c r="D42">
        <v>6</v>
      </c>
      <c r="E42">
        <v>11</v>
      </c>
      <c r="F42">
        <v>5</v>
      </c>
      <c r="G42" t="s">
        <v>9</v>
      </c>
    </row>
    <row r="43" spans="1:7" x14ac:dyDescent="0.3">
      <c r="A43" t="s">
        <v>54</v>
      </c>
      <c r="B43">
        <v>47</v>
      </c>
      <c r="C43" t="s">
        <v>8</v>
      </c>
      <c r="D43">
        <v>7</v>
      </c>
      <c r="E43">
        <v>20</v>
      </c>
      <c r="F43">
        <v>4</v>
      </c>
      <c r="G43" t="s">
        <v>9</v>
      </c>
    </row>
    <row r="44" spans="1:7" x14ac:dyDescent="0.3">
      <c r="A44" t="s">
        <v>55</v>
      </c>
      <c r="B44">
        <v>57</v>
      </c>
      <c r="C44" t="s">
        <v>11</v>
      </c>
      <c r="D44">
        <v>10</v>
      </c>
      <c r="E44">
        <v>27</v>
      </c>
      <c r="F44">
        <v>3</v>
      </c>
      <c r="G44" t="s">
        <v>14</v>
      </c>
    </row>
    <row r="45" spans="1:7" x14ac:dyDescent="0.3">
      <c r="A45" t="s">
        <v>56</v>
      </c>
      <c r="B45">
        <v>69</v>
      </c>
      <c r="C45" t="s">
        <v>13</v>
      </c>
      <c r="D45">
        <v>15</v>
      </c>
      <c r="E45">
        <v>39</v>
      </c>
      <c r="F45">
        <v>2</v>
      </c>
      <c r="G45" t="s">
        <v>14</v>
      </c>
    </row>
    <row r="46" spans="1:7" x14ac:dyDescent="0.3">
      <c r="A46" t="s">
        <v>57</v>
      </c>
      <c r="B46">
        <v>30</v>
      </c>
      <c r="C46" t="s">
        <v>8</v>
      </c>
      <c r="D46">
        <v>5</v>
      </c>
      <c r="E46">
        <v>10</v>
      </c>
      <c r="F46">
        <v>5</v>
      </c>
      <c r="G46" t="s">
        <v>9</v>
      </c>
    </row>
    <row r="47" spans="1:7" x14ac:dyDescent="0.3">
      <c r="A47" t="s">
        <v>58</v>
      </c>
      <c r="B47">
        <v>40</v>
      </c>
      <c r="C47" t="s">
        <v>11</v>
      </c>
      <c r="D47">
        <v>6</v>
      </c>
      <c r="E47">
        <v>14</v>
      </c>
      <c r="F47">
        <v>4</v>
      </c>
      <c r="G47" t="s">
        <v>9</v>
      </c>
    </row>
    <row r="48" spans="1:7" x14ac:dyDescent="0.3">
      <c r="A48" t="s">
        <v>59</v>
      </c>
      <c r="B48">
        <v>53</v>
      </c>
      <c r="C48" t="s">
        <v>16</v>
      </c>
      <c r="D48">
        <v>9</v>
      </c>
      <c r="E48">
        <v>16</v>
      </c>
      <c r="F48">
        <v>4</v>
      </c>
      <c r="G48" t="s">
        <v>9</v>
      </c>
    </row>
    <row r="49" spans="1:7" x14ac:dyDescent="0.3">
      <c r="A49" t="s">
        <v>60</v>
      </c>
      <c r="B49">
        <v>66</v>
      </c>
      <c r="C49" t="s">
        <v>13</v>
      </c>
      <c r="D49">
        <v>11</v>
      </c>
      <c r="E49">
        <v>29</v>
      </c>
      <c r="F49">
        <v>3</v>
      </c>
      <c r="G49" t="s">
        <v>14</v>
      </c>
    </row>
    <row r="50" spans="1:7" x14ac:dyDescent="0.3">
      <c r="A50" t="s">
        <v>61</v>
      </c>
      <c r="B50">
        <v>22</v>
      </c>
      <c r="C50" t="s">
        <v>8</v>
      </c>
      <c r="D50">
        <v>3</v>
      </c>
      <c r="E50">
        <v>5</v>
      </c>
      <c r="F50">
        <v>5</v>
      </c>
      <c r="G50" t="s">
        <v>9</v>
      </c>
    </row>
    <row r="51" spans="1:7" x14ac:dyDescent="0.3">
      <c r="A51" t="s">
        <v>62</v>
      </c>
      <c r="B51">
        <v>51</v>
      </c>
      <c r="C51" t="s">
        <v>11</v>
      </c>
      <c r="D51">
        <v>8</v>
      </c>
      <c r="E51">
        <v>23</v>
      </c>
      <c r="F51">
        <v>3</v>
      </c>
      <c r="G51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DF97-8264-48A8-B67E-7D26DCCE4328}">
  <dimension ref="A1:K51"/>
  <sheetViews>
    <sheetView topLeftCell="A4" zoomScale="85" zoomScaleNormal="85" workbookViewId="0">
      <selection activeCell="N10" sqref="N10"/>
    </sheetView>
  </sheetViews>
  <sheetFormatPr defaultRowHeight="14.4" x14ac:dyDescent="0.3"/>
  <cols>
    <col min="1" max="1" width="9.77734375" customWidth="1"/>
    <col min="2" max="2" width="6.33203125" customWidth="1"/>
    <col min="3" max="3" width="18.6640625" customWidth="1"/>
    <col min="4" max="4" width="9.109375" customWidth="1"/>
    <col min="5" max="5" width="15.5546875" customWidth="1"/>
    <col min="6" max="6" width="17.44140625" customWidth="1"/>
    <col min="7" max="7" width="18.6640625" customWidth="1"/>
    <col min="8" max="8" width="12" customWidth="1"/>
    <col min="9" max="9" width="18.21875" customWidth="1"/>
    <col min="10" max="10" width="36.5546875" customWidth="1"/>
    <col min="11" max="11" width="1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</v>
      </c>
      <c r="J1" t="s">
        <v>3</v>
      </c>
      <c r="K1" t="s">
        <v>5</v>
      </c>
    </row>
    <row r="2" spans="1:11" x14ac:dyDescent="0.3">
      <c r="A2" s="1" t="s">
        <v>7</v>
      </c>
      <c r="B2" s="1">
        <v>32</v>
      </c>
      <c r="C2" s="1" t="s">
        <v>8</v>
      </c>
      <c r="D2" s="1">
        <v>6</v>
      </c>
      <c r="E2" s="1">
        <v>10</v>
      </c>
      <c r="F2" s="1">
        <v>5</v>
      </c>
      <c r="G2" s="1" t="s">
        <v>9</v>
      </c>
      <c r="I2" t="s">
        <v>8</v>
      </c>
      <c r="J2">
        <f>AVERAGEIF($C$2:$C$51,I2,$D$2:$D$51)</f>
        <v>5.8571428571428568</v>
      </c>
      <c r="K2">
        <f>AVERAGEIF($C$2:$C$51,I2,$F$2:$F$51)</f>
        <v>4.5</v>
      </c>
    </row>
    <row r="3" spans="1:11" x14ac:dyDescent="0.3">
      <c r="A3" s="1" t="s">
        <v>10</v>
      </c>
      <c r="B3" s="1">
        <v>45</v>
      </c>
      <c r="C3" s="1" t="s">
        <v>11</v>
      </c>
      <c r="D3" s="1">
        <v>8</v>
      </c>
      <c r="E3" s="1">
        <v>20</v>
      </c>
      <c r="F3" s="1">
        <v>4</v>
      </c>
      <c r="G3" s="1" t="s">
        <v>9</v>
      </c>
      <c r="I3" t="s">
        <v>11</v>
      </c>
      <c r="J3">
        <f t="shared" ref="J3:J5" si="0">AVERAGEIF($C$2:$C$51,I3,$D$2:$D$51)</f>
        <v>7.7333333333333334</v>
      </c>
      <c r="K3">
        <f t="shared" ref="K3:K5" si="1">AVERAGEIF($C$2:$C$51,I3,$F$2:$F$51)</f>
        <v>3.6666666666666665</v>
      </c>
    </row>
    <row r="4" spans="1:11" x14ac:dyDescent="0.3">
      <c r="A4" s="1" t="s">
        <v>12</v>
      </c>
      <c r="B4" s="1">
        <v>67</v>
      </c>
      <c r="C4" s="1" t="s">
        <v>13</v>
      </c>
      <c r="D4" s="1">
        <v>12</v>
      </c>
      <c r="E4" s="1">
        <v>30</v>
      </c>
      <c r="F4" s="1">
        <v>3</v>
      </c>
      <c r="G4" s="1" t="s">
        <v>14</v>
      </c>
      <c r="I4" t="s">
        <v>13</v>
      </c>
      <c r="J4">
        <f t="shared" si="0"/>
        <v>12.5</v>
      </c>
      <c r="K4">
        <f t="shared" si="1"/>
        <v>2.5833333333333335</v>
      </c>
    </row>
    <row r="5" spans="1:11" x14ac:dyDescent="0.3">
      <c r="A5" s="1" t="s">
        <v>15</v>
      </c>
      <c r="B5" s="1">
        <v>29</v>
      </c>
      <c r="C5" s="1" t="s">
        <v>16</v>
      </c>
      <c r="D5" s="1">
        <v>4</v>
      </c>
      <c r="E5" s="1">
        <v>8</v>
      </c>
      <c r="F5" s="1">
        <v>5</v>
      </c>
      <c r="G5" s="1" t="s">
        <v>9</v>
      </c>
      <c r="I5" t="s">
        <v>16</v>
      </c>
      <c r="J5">
        <f t="shared" si="0"/>
        <v>5.8888888888888893</v>
      </c>
      <c r="K5">
        <f t="shared" si="1"/>
        <v>4.7777777777777777</v>
      </c>
    </row>
    <row r="6" spans="1:11" x14ac:dyDescent="0.3">
      <c r="A6" t="s">
        <v>17</v>
      </c>
      <c r="B6">
        <v>38</v>
      </c>
      <c r="C6" t="s">
        <v>11</v>
      </c>
      <c r="D6">
        <v>5</v>
      </c>
      <c r="E6">
        <v>15</v>
      </c>
      <c r="F6">
        <v>4</v>
      </c>
      <c r="G6" t="s">
        <v>9</v>
      </c>
    </row>
    <row r="7" spans="1:11" x14ac:dyDescent="0.3">
      <c r="A7" t="s">
        <v>18</v>
      </c>
      <c r="B7">
        <v>24</v>
      </c>
      <c r="C7" t="s">
        <v>8</v>
      </c>
      <c r="D7">
        <v>3</v>
      </c>
      <c r="E7">
        <v>7</v>
      </c>
      <c r="F7">
        <v>5</v>
      </c>
      <c r="G7" t="s">
        <v>9</v>
      </c>
    </row>
    <row r="8" spans="1:11" x14ac:dyDescent="0.3">
      <c r="A8" t="s">
        <v>19</v>
      </c>
      <c r="B8">
        <v>71</v>
      </c>
      <c r="C8" t="s">
        <v>13</v>
      </c>
      <c r="D8">
        <v>10</v>
      </c>
      <c r="E8">
        <v>35</v>
      </c>
      <c r="F8">
        <v>2</v>
      </c>
      <c r="G8" t="s">
        <v>14</v>
      </c>
    </row>
    <row r="9" spans="1:11" x14ac:dyDescent="0.3">
      <c r="A9" t="s">
        <v>20</v>
      </c>
      <c r="B9">
        <v>52</v>
      </c>
      <c r="C9" t="s">
        <v>11</v>
      </c>
      <c r="D9">
        <v>9</v>
      </c>
      <c r="E9">
        <v>25</v>
      </c>
      <c r="F9">
        <v>3</v>
      </c>
      <c r="G9" t="s">
        <v>14</v>
      </c>
    </row>
    <row r="10" spans="1:11" x14ac:dyDescent="0.3">
      <c r="A10" t="s">
        <v>21</v>
      </c>
      <c r="B10">
        <v>34</v>
      </c>
      <c r="C10" t="s">
        <v>16</v>
      </c>
      <c r="D10">
        <v>6</v>
      </c>
      <c r="E10">
        <v>12</v>
      </c>
      <c r="F10">
        <v>5</v>
      </c>
      <c r="G10" t="s">
        <v>9</v>
      </c>
    </row>
    <row r="11" spans="1:11" x14ac:dyDescent="0.3">
      <c r="A11" t="s">
        <v>22</v>
      </c>
      <c r="B11">
        <v>41</v>
      </c>
      <c r="C11" t="s">
        <v>8</v>
      </c>
      <c r="D11">
        <v>7</v>
      </c>
      <c r="E11">
        <v>18</v>
      </c>
      <c r="F11">
        <v>4</v>
      </c>
      <c r="G11" t="s">
        <v>9</v>
      </c>
    </row>
    <row r="12" spans="1:11" x14ac:dyDescent="0.3">
      <c r="A12" t="s">
        <v>23</v>
      </c>
      <c r="B12">
        <v>63</v>
      </c>
      <c r="C12" t="s">
        <v>13</v>
      </c>
      <c r="D12">
        <v>14</v>
      </c>
      <c r="E12">
        <v>28</v>
      </c>
      <c r="F12">
        <v>3</v>
      </c>
      <c r="G12" t="s">
        <v>14</v>
      </c>
    </row>
    <row r="13" spans="1:11" x14ac:dyDescent="0.3">
      <c r="A13" t="s">
        <v>24</v>
      </c>
      <c r="B13">
        <v>27</v>
      </c>
      <c r="C13" t="s">
        <v>11</v>
      </c>
      <c r="D13">
        <v>4</v>
      </c>
      <c r="E13">
        <v>9</v>
      </c>
      <c r="F13">
        <v>5</v>
      </c>
      <c r="G13" t="s">
        <v>9</v>
      </c>
    </row>
    <row r="14" spans="1:11" x14ac:dyDescent="0.3">
      <c r="A14" t="s">
        <v>25</v>
      </c>
      <c r="B14">
        <v>48</v>
      </c>
      <c r="C14" t="s">
        <v>8</v>
      </c>
      <c r="D14">
        <v>8</v>
      </c>
      <c r="E14">
        <v>22</v>
      </c>
      <c r="F14">
        <v>4</v>
      </c>
      <c r="G14" t="s">
        <v>9</v>
      </c>
    </row>
    <row r="15" spans="1:11" x14ac:dyDescent="0.3">
      <c r="A15" t="s">
        <v>26</v>
      </c>
      <c r="B15">
        <v>56</v>
      </c>
      <c r="C15" t="s">
        <v>11</v>
      </c>
      <c r="D15">
        <v>10</v>
      </c>
      <c r="E15">
        <v>32</v>
      </c>
      <c r="F15">
        <v>3</v>
      </c>
      <c r="G15" t="s">
        <v>14</v>
      </c>
    </row>
    <row r="16" spans="1:11" x14ac:dyDescent="0.3">
      <c r="A16" t="s">
        <v>27</v>
      </c>
      <c r="B16">
        <v>30</v>
      </c>
      <c r="C16" t="s">
        <v>16</v>
      </c>
      <c r="D16">
        <v>5</v>
      </c>
      <c r="E16">
        <v>6</v>
      </c>
      <c r="F16">
        <v>5</v>
      </c>
      <c r="G16" t="s">
        <v>9</v>
      </c>
    </row>
    <row r="17" spans="1:8" x14ac:dyDescent="0.3">
      <c r="A17" t="s">
        <v>28</v>
      </c>
      <c r="B17">
        <v>74</v>
      </c>
      <c r="C17" t="s">
        <v>13</v>
      </c>
      <c r="D17">
        <v>15</v>
      </c>
      <c r="E17">
        <v>38</v>
      </c>
      <c r="F17">
        <v>2</v>
      </c>
      <c r="G17" t="s">
        <v>14</v>
      </c>
    </row>
    <row r="18" spans="1:8" x14ac:dyDescent="0.3">
      <c r="A18" t="s">
        <v>29</v>
      </c>
      <c r="B18">
        <v>36</v>
      </c>
      <c r="C18" t="s">
        <v>8</v>
      </c>
      <c r="D18">
        <v>6</v>
      </c>
      <c r="E18">
        <v>11</v>
      </c>
      <c r="F18">
        <v>5</v>
      </c>
      <c r="G18" t="s">
        <v>9</v>
      </c>
    </row>
    <row r="19" spans="1:8" x14ac:dyDescent="0.3">
      <c r="A19" t="s">
        <v>30</v>
      </c>
      <c r="B19">
        <v>43</v>
      </c>
      <c r="C19" t="s">
        <v>11</v>
      </c>
      <c r="D19">
        <v>7</v>
      </c>
      <c r="E19">
        <v>17</v>
      </c>
      <c r="F19">
        <v>4</v>
      </c>
      <c r="G19" t="s">
        <v>9</v>
      </c>
    </row>
    <row r="20" spans="1:8" x14ac:dyDescent="0.3">
      <c r="A20" t="s">
        <v>31</v>
      </c>
      <c r="B20">
        <v>61</v>
      </c>
      <c r="C20" t="s">
        <v>13</v>
      </c>
      <c r="D20">
        <v>11</v>
      </c>
      <c r="E20">
        <v>27</v>
      </c>
      <c r="F20">
        <v>3</v>
      </c>
      <c r="G20" t="s">
        <v>14</v>
      </c>
      <c r="H20" s="2"/>
    </row>
    <row r="21" spans="1:8" x14ac:dyDescent="0.3">
      <c r="A21" t="s">
        <v>32</v>
      </c>
      <c r="B21">
        <v>25</v>
      </c>
      <c r="C21" t="s">
        <v>16</v>
      </c>
      <c r="D21">
        <v>3</v>
      </c>
      <c r="E21">
        <v>5</v>
      </c>
      <c r="F21">
        <v>5</v>
      </c>
      <c r="G21" t="s">
        <v>9</v>
      </c>
    </row>
    <row r="22" spans="1:8" x14ac:dyDescent="0.3">
      <c r="A22" t="s">
        <v>33</v>
      </c>
      <c r="B22">
        <v>39</v>
      </c>
      <c r="C22" t="s">
        <v>8</v>
      </c>
      <c r="D22">
        <v>5</v>
      </c>
      <c r="E22">
        <v>14</v>
      </c>
      <c r="F22">
        <v>4</v>
      </c>
      <c r="G22" t="s">
        <v>9</v>
      </c>
    </row>
    <row r="23" spans="1:8" x14ac:dyDescent="0.3">
      <c r="A23" t="s">
        <v>34</v>
      </c>
      <c r="B23">
        <v>50</v>
      </c>
      <c r="C23" t="s">
        <v>11</v>
      </c>
      <c r="D23">
        <v>9</v>
      </c>
      <c r="E23">
        <v>24</v>
      </c>
      <c r="F23">
        <v>3</v>
      </c>
      <c r="G23" t="s">
        <v>14</v>
      </c>
      <c r="H23" s="2"/>
    </row>
    <row r="24" spans="1:8" ht="15.6" customHeight="1" x14ac:dyDescent="0.3">
      <c r="A24" t="s">
        <v>35</v>
      </c>
      <c r="B24">
        <v>68</v>
      </c>
      <c r="C24" t="s">
        <v>13</v>
      </c>
      <c r="D24">
        <v>13</v>
      </c>
      <c r="E24">
        <v>33</v>
      </c>
      <c r="F24">
        <v>2</v>
      </c>
      <c r="G24" t="s">
        <v>14</v>
      </c>
    </row>
    <row r="25" spans="1:8" ht="12.6" customHeight="1" x14ac:dyDescent="0.3">
      <c r="A25" t="s">
        <v>36</v>
      </c>
      <c r="B25">
        <v>31</v>
      </c>
      <c r="C25" t="s">
        <v>16</v>
      </c>
      <c r="D25">
        <v>7</v>
      </c>
      <c r="E25">
        <v>10</v>
      </c>
      <c r="F25">
        <v>5</v>
      </c>
      <c r="G25" t="s">
        <v>9</v>
      </c>
    </row>
    <row r="26" spans="1:8" x14ac:dyDescent="0.3">
      <c r="A26" t="s">
        <v>37</v>
      </c>
      <c r="B26">
        <v>46</v>
      </c>
      <c r="C26" t="s">
        <v>8</v>
      </c>
      <c r="D26">
        <v>8</v>
      </c>
      <c r="E26">
        <v>16</v>
      </c>
      <c r="F26">
        <v>4</v>
      </c>
      <c r="G26" t="s">
        <v>9</v>
      </c>
      <c r="H26" s="3"/>
    </row>
    <row r="27" spans="1:8" x14ac:dyDescent="0.3">
      <c r="A27" t="s">
        <v>38</v>
      </c>
      <c r="B27">
        <v>58</v>
      </c>
      <c r="C27" t="s">
        <v>11</v>
      </c>
      <c r="D27">
        <v>11</v>
      </c>
      <c r="E27">
        <v>29</v>
      </c>
      <c r="F27">
        <v>3</v>
      </c>
      <c r="G27" t="s">
        <v>14</v>
      </c>
    </row>
    <row r="28" spans="1:8" ht="14.4" customHeight="1" x14ac:dyDescent="0.3">
      <c r="A28" t="s">
        <v>39</v>
      </c>
      <c r="B28">
        <v>72</v>
      </c>
      <c r="C28" t="s">
        <v>13</v>
      </c>
      <c r="D28">
        <v>12</v>
      </c>
      <c r="E28">
        <v>36</v>
      </c>
      <c r="F28">
        <v>2</v>
      </c>
      <c r="G28" t="s">
        <v>14</v>
      </c>
    </row>
    <row r="29" spans="1:8" x14ac:dyDescent="0.3">
      <c r="A29" t="s">
        <v>40</v>
      </c>
      <c r="B29">
        <v>28</v>
      </c>
      <c r="C29" t="s">
        <v>8</v>
      </c>
      <c r="D29">
        <v>4</v>
      </c>
      <c r="E29">
        <v>8</v>
      </c>
      <c r="F29">
        <v>5</v>
      </c>
      <c r="G29" t="s">
        <v>9</v>
      </c>
    </row>
    <row r="30" spans="1:8" x14ac:dyDescent="0.3">
      <c r="A30" t="s">
        <v>41</v>
      </c>
      <c r="B30">
        <v>35</v>
      </c>
      <c r="C30" t="s">
        <v>11</v>
      </c>
      <c r="D30">
        <v>6</v>
      </c>
      <c r="E30">
        <v>13</v>
      </c>
      <c r="F30">
        <v>5</v>
      </c>
      <c r="G30" t="s">
        <v>9</v>
      </c>
    </row>
    <row r="31" spans="1:8" x14ac:dyDescent="0.3">
      <c r="A31" t="s">
        <v>42</v>
      </c>
      <c r="B31">
        <v>54</v>
      </c>
      <c r="C31" t="s">
        <v>16</v>
      </c>
      <c r="D31">
        <v>8</v>
      </c>
      <c r="E31">
        <v>19</v>
      </c>
      <c r="F31">
        <v>4</v>
      </c>
      <c r="G31" t="s">
        <v>9</v>
      </c>
    </row>
    <row r="32" spans="1:8" x14ac:dyDescent="0.3">
      <c r="A32" t="s">
        <v>43</v>
      </c>
      <c r="B32">
        <v>65</v>
      </c>
      <c r="C32" t="s">
        <v>13</v>
      </c>
      <c r="D32">
        <v>14</v>
      </c>
      <c r="E32">
        <v>31</v>
      </c>
      <c r="F32">
        <v>3</v>
      </c>
      <c r="G32" t="s">
        <v>14</v>
      </c>
    </row>
    <row r="33" spans="1:7" x14ac:dyDescent="0.3">
      <c r="A33" t="s">
        <v>44</v>
      </c>
      <c r="B33">
        <v>42</v>
      </c>
      <c r="C33" t="s">
        <v>8</v>
      </c>
      <c r="D33">
        <v>7</v>
      </c>
      <c r="E33">
        <v>15</v>
      </c>
      <c r="F33">
        <v>4</v>
      </c>
      <c r="G33" t="s">
        <v>9</v>
      </c>
    </row>
    <row r="34" spans="1:7" x14ac:dyDescent="0.3">
      <c r="A34" t="s">
        <v>45</v>
      </c>
      <c r="B34">
        <v>23</v>
      </c>
      <c r="C34" t="s">
        <v>11</v>
      </c>
      <c r="D34">
        <v>3</v>
      </c>
      <c r="E34">
        <v>6</v>
      </c>
      <c r="F34">
        <v>5</v>
      </c>
      <c r="G34" t="s">
        <v>9</v>
      </c>
    </row>
    <row r="35" spans="1:7" x14ac:dyDescent="0.3">
      <c r="A35" t="s">
        <v>46</v>
      </c>
      <c r="B35">
        <v>59</v>
      </c>
      <c r="C35" t="s">
        <v>13</v>
      </c>
      <c r="D35">
        <v>10</v>
      </c>
      <c r="E35">
        <v>26</v>
      </c>
      <c r="F35">
        <v>3</v>
      </c>
      <c r="G35" t="s">
        <v>14</v>
      </c>
    </row>
    <row r="36" spans="1:7" x14ac:dyDescent="0.3">
      <c r="A36" t="s">
        <v>47</v>
      </c>
      <c r="B36">
        <v>37</v>
      </c>
      <c r="C36" t="s">
        <v>16</v>
      </c>
      <c r="D36">
        <v>5</v>
      </c>
      <c r="E36">
        <v>9</v>
      </c>
      <c r="F36">
        <v>5</v>
      </c>
      <c r="G36" t="s">
        <v>9</v>
      </c>
    </row>
    <row r="37" spans="1:7" x14ac:dyDescent="0.3">
      <c r="A37" t="s">
        <v>48</v>
      </c>
      <c r="B37">
        <v>49</v>
      </c>
      <c r="C37" t="s">
        <v>8</v>
      </c>
      <c r="D37">
        <v>9</v>
      </c>
      <c r="E37">
        <v>21</v>
      </c>
      <c r="F37">
        <v>4</v>
      </c>
      <c r="G37" t="s">
        <v>9</v>
      </c>
    </row>
    <row r="38" spans="1:7" x14ac:dyDescent="0.3">
      <c r="A38" t="s">
        <v>49</v>
      </c>
      <c r="B38">
        <v>70</v>
      </c>
      <c r="C38" t="s">
        <v>11</v>
      </c>
      <c r="D38">
        <v>12</v>
      </c>
      <c r="E38">
        <v>34</v>
      </c>
      <c r="F38">
        <v>2</v>
      </c>
      <c r="G38" t="s">
        <v>14</v>
      </c>
    </row>
    <row r="39" spans="1:7" x14ac:dyDescent="0.3">
      <c r="A39" t="s">
        <v>50</v>
      </c>
      <c r="B39">
        <v>26</v>
      </c>
      <c r="C39" t="s">
        <v>8</v>
      </c>
      <c r="D39">
        <v>4</v>
      </c>
      <c r="E39">
        <v>7</v>
      </c>
      <c r="F39">
        <v>5</v>
      </c>
      <c r="G39" t="s">
        <v>9</v>
      </c>
    </row>
    <row r="40" spans="1:7" x14ac:dyDescent="0.3">
      <c r="A40" t="s">
        <v>51</v>
      </c>
      <c r="B40">
        <v>44</v>
      </c>
      <c r="C40" t="s">
        <v>11</v>
      </c>
      <c r="D40">
        <v>8</v>
      </c>
      <c r="E40">
        <v>18</v>
      </c>
      <c r="F40">
        <v>4</v>
      </c>
      <c r="G40" t="s">
        <v>9</v>
      </c>
    </row>
    <row r="41" spans="1:7" x14ac:dyDescent="0.3">
      <c r="A41" t="s">
        <v>52</v>
      </c>
      <c r="B41">
        <v>62</v>
      </c>
      <c r="C41" t="s">
        <v>13</v>
      </c>
      <c r="D41">
        <v>13</v>
      </c>
      <c r="E41">
        <v>30</v>
      </c>
      <c r="F41">
        <v>3</v>
      </c>
      <c r="G41" t="s">
        <v>14</v>
      </c>
    </row>
    <row r="42" spans="1:7" x14ac:dyDescent="0.3">
      <c r="A42" t="s">
        <v>53</v>
      </c>
      <c r="B42">
        <v>33</v>
      </c>
      <c r="C42" t="s">
        <v>16</v>
      </c>
      <c r="D42">
        <v>6</v>
      </c>
      <c r="E42">
        <v>11</v>
      </c>
      <c r="F42">
        <v>5</v>
      </c>
      <c r="G42" t="s">
        <v>9</v>
      </c>
    </row>
    <row r="43" spans="1:7" x14ac:dyDescent="0.3">
      <c r="A43" t="s">
        <v>54</v>
      </c>
      <c r="B43">
        <v>47</v>
      </c>
      <c r="C43" t="s">
        <v>8</v>
      </c>
      <c r="D43">
        <v>7</v>
      </c>
      <c r="E43">
        <v>20</v>
      </c>
      <c r="F43">
        <v>4</v>
      </c>
      <c r="G43" t="s">
        <v>9</v>
      </c>
    </row>
    <row r="44" spans="1:7" x14ac:dyDescent="0.3">
      <c r="A44" t="s">
        <v>55</v>
      </c>
      <c r="B44">
        <v>57</v>
      </c>
      <c r="C44" t="s">
        <v>11</v>
      </c>
      <c r="D44">
        <v>10</v>
      </c>
      <c r="E44">
        <v>27</v>
      </c>
      <c r="F44">
        <v>3</v>
      </c>
      <c r="G44" t="s">
        <v>14</v>
      </c>
    </row>
    <row r="45" spans="1:7" x14ac:dyDescent="0.3">
      <c r="A45" t="s">
        <v>56</v>
      </c>
      <c r="B45">
        <v>69</v>
      </c>
      <c r="C45" t="s">
        <v>13</v>
      </c>
      <c r="D45">
        <v>15</v>
      </c>
      <c r="E45">
        <v>39</v>
      </c>
      <c r="F45">
        <v>2</v>
      </c>
      <c r="G45" t="s">
        <v>14</v>
      </c>
    </row>
    <row r="46" spans="1:7" x14ac:dyDescent="0.3">
      <c r="A46" t="s">
        <v>57</v>
      </c>
      <c r="B46">
        <v>30</v>
      </c>
      <c r="C46" t="s">
        <v>8</v>
      </c>
      <c r="D46">
        <v>5</v>
      </c>
      <c r="E46">
        <v>10</v>
      </c>
      <c r="F46">
        <v>5</v>
      </c>
      <c r="G46" t="s">
        <v>9</v>
      </c>
    </row>
    <row r="47" spans="1:7" x14ac:dyDescent="0.3">
      <c r="A47" t="s">
        <v>58</v>
      </c>
      <c r="B47">
        <v>40</v>
      </c>
      <c r="C47" t="s">
        <v>11</v>
      </c>
      <c r="D47">
        <v>6</v>
      </c>
      <c r="E47">
        <v>14</v>
      </c>
      <c r="F47">
        <v>4</v>
      </c>
      <c r="G47" t="s">
        <v>9</v>
      </c>
    </row>
    <row r="48" spans="1:7" x14ac:dyDescent="0.3">
      <c r="A48" t="s">
        <v>59</v>
      </c>
      <c r="B48">
        <v>53</v>
      </c>
      <c r="C48" t="s">
        <v>16</v>
      </c>
      <c r="D48">
        <v>9</v>
      </c>
      <c r="E48">
        <v>16</v>
      </c>
      <c r="F48">
        <v>4</v>
      </c>
      <c r="G48" t="s">
        <v>9</v>
      </c>
    </row>
    <row r="49" spans="1:7" x14ac:dyDescent="0.3">
      <c r="A49" t="s">
        <v>60</v>
      </c>
      <c r="B49">
        <v>66</v>
      </c>
      <c r="C49" t="s">
        <v>13</v>
      </c>
      <c r="D49">
        <v>11</v>
      </c>
      <c r="E49">
        <v>29</v>
      </c>
      <c r="F49">
        <v>3</v>
      </c>
      <c r="G49" t="s">
        <v>14</v>
      </c>
    </row>
    <row r="50" spans="1:7" x14ac:dyDescent="0.3">
      <c r="A50" t="s">
        <v>61</v>
      </c>
      <c r="B50">
        <v>22</v>
      </c>
      <c r="C50" t="s">
        <v>8</v>
      </c>
      <c r="D50">
        <v>3</v>
      </c>
      <c r="E50">
        <v>5</v>
      </c>
      <c r="F50">
        <v>5</v>
      </c>
      <c r="G50" t="s">
        <v>9</v>
      </c>
    </row>
    <row r="51" spans="1:7" x14ac:dyDescent="0.3">
      <c r="A51" t="s">
        <v>62</v>
      </c>
      <c r="B51">
        <v>51</v>
      </c>
      <c r="C51" t="s">
        <v>11</v>
      </c>
      <c r="D51">
        <v>8</v>
      </c>
      <c r="E51">
        <v>23</v>
      </c>
      <c r="F51">
        <v>3</v>
      </c>
      <c r="G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analisis proyecto 1 </vt:lpstr>
      <vt:lpstr>analisis proyecto 2 </vt:lpstr>
      <vt:lpstr>analisis proyecto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Alejandro Salgado Larenas</dc:creator>
  <cp:lastModifiedBy>Rodrigo Alejandro Salgado Larenas</cp:lastModifiedBy>
  <dcterms:created xsi:type="dcterms:W3CDTF">2026-08-19T13:55:43Z</dcterms:created>
  <dcterms:modified xsi:type="dcterms:W3CDTF">2026-08-19T16:54:25Z</dcterms:modified>
</cp:coreProperties>
</file>